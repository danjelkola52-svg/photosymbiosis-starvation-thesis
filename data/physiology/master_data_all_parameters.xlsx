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je\Desktop\master thesis data\physiology data\"/>
    </mc:Choice>
  </mc:AlternateContent>
  <xr:revisionPtr revIDLastSave="0" documentId="8_{6ADFE730-4094-49E1-973F-2D01B4E565F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Master" sheetId="1" r:id="rId1"/>
    <sheet name="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P3" i="1"/>
  <c r="N11" i="1"/>
  <c r="L2" i="1"/>
  <c r="J7" i="2"/>
  <c r="G7" i="2"/>
  <c r="E7" i="2"/>
  <c r="D7" i="2"/>
  <c r="C7" i="2"/>
  <c r="J6" i="2"/>
  <c r="G6" i="2"/>
  <c r="E6" i="2"/>
  <c r="D6" i="2"/>
  <c r="C6" i="2"/>
  <c r="J5" i="2"/>
  <c r="G5" i="2"/>
  <c r="E5" i="2"/>
  <c r="D5" i="2"/>
  <c r="C5" i="2"/>
  <c r="J4" i="2"/>
  <c r="G4" i="2"/>
  <c r="E4" i="2"/>
  <c r="D4" i="2"/>
  <c r="C4" i="2"/>
  <c r="P23" i="1"/>
  <c r="O23" i="1"/>
  <c r="N23" i="1"/>
  <c r="L23" i="1"/>
  <c r="K23" i="1"/>
  <c r="I23" i="1"/>
  <c r="H23" i="1"/>
  <c r="F23" i="1"/>
  <c r="P22" i="1"/>
  <c r="O22" i="1"/>
  <c r="N22" i="1"/>
  <c r="L22" i="1"/>
  <c r="K22" i="1"/>
  <c r="I22" i="1"/>
  <c r="H22" i="1"/>
  <c r="F22" i="1"/>
  <c r="P21" i="1"/>
  <c r="O21" i="1"/>
  <c r="N21" i="1"/>
  <c r="L21" i="1"/>
  <c r="K21" i="1"/>
  <c r="I21" i="1"/>
  <c r="H21" i="1"/>
  <c r="F21" i="1"/>
  <c r="P20" i="1"/>
  <c r="O20" i="1"/>
  <c r="N20" i="1"/>
  <c r="L20" i="1"/>
  <c r="K20" i="1"/>
  <c r="I20" i="1"/>
  <c r="H20" i="1"/>
  <c r="F20" i="1"/>
  <c r="P19" i="1"/>
  <c r="O19" i="1"/>
  <c r="N19" i="1"/>
  <c r="L19" i="1"/>
  <c r="K19" i="1"/>
  <c r="I19" i="1"/>
  <c r="H19" i="1"/>
  <c r="F19" i="1"/>
  <c r="P18" i="1"/>
  <c r="O18" i="1"/>
  <c r="N18" i="1"/>
  <c r="L18" i="1"/>
  <c r="K18" i="1"/>
  <c r="I18" i="1"/>
  <c r="H18" i="1"/>
  <c r="F18" i="1"/>
  <c r="P17" i="1"/>
  <c r="O17" i="1"/>
  <c r="N17" i="1"/>
  <c r="L17" i="1"/>
  <c r="K17" i="1"/>
  <c r="I17" i="1"/>
  <c r="H17" i="1"/>
  <c r="F17" i="1"/>
  <c r="P16" i="1"/>
  <c r="O16" i="1"/>
  <c r="N16" i="1"/>
  <c r="L16" i="1"/>
  <c r="K16" i="1"/>
  <c r="I16" i="1"/>
  <c r="H16" i="1"/>
  <c r="F16" i="1"/>
  <c r="P15" i="1"/>
  <c r="O15" i="1"/>
  <c r="N15" i="1"/>
  <c r="L15" i="1"/>
  <c r="K15" i="1"/>
  <c r="I15" i="1"/>
  <c r="H15" i="1"/>
  <c r="F15" i="1"/>
  <c r="P14" i="1"/>
  <c r="O14" i="1"/>
  <c r="N14" i="1"/>
  <c r="L14" i="1"/>
  <c r="K14" i="1"/>
  <c r="I14" i="1"/>
  <c r="H14" i="1"/>
  <c r="F14" i="1"/>
  <c r="P13" i="1"/>
  <c r="O13" i="1"/>
  <c r="N13" i="1"/>
  <c r="L13" i="1"/>
  <c r="K13" i="1"/>
  <c r="I13" i="1"/>
  <c r="H13" i="1"/>
  <c r="F13" i="1"/>
  <c r="P12" i="1"/>
  <c r="O12" i="1"/>
  <c r="N12" i="1"/>
  <c r="L12" i="1"/>
  <c r="L6" i="2" s="1"/>
  <c r="K12" i="1"/>
  <c r="K6" i="2" s="1"/>
  <c r="I12" i="1"/>
  <c r="I6" i="2" s="1"/>
  <c r="H12" i="1"/>
  <c r="H6" i="2" s="1"/>
  <c r="F12" i="1"/>
  <c r="F6" i="2" s="1"/>
  <c r="P11" i="1"/>
  <c r="O11" i="1"/>
  <c r="L11" i="1"/>
  <c r="K11" i="1"/>
  <c r="I11" i="1"/>
  <c r="H11" i="1"/>
  <c r="F11" i="1"/>
  <c r="P10" i="1"/>
  <c r="O10" i="1"/>
  <c r="N10" i="1"/>
  <c r="L10" i="1"/>
  <c r="K10" i="1"/>
  <c r="I10" i="1"/>
  <c r="H10" i="1"/>
  <c r="F10" i="1"/>
  <c r="P9" i="1"/>
  <c r="O9" i="1"/>
  <c r="N9" i="1"/>
  <c r="L9" i="1"/>
  <c r="K9" i="1"/>
  <c r="I9" i="1"/>
  <c r="H9" i="1"/>
  <c r="F9" i="1"/>
  <c r="P8" i="1"/>
  <c r="O8" i="1"/>
  <c r="N8" i="1"/>
  <c r="L8" i="1"/>
  <c r="K8" i="1"/>
  <c r="I8" i="1"/>
  <c r="H8" i="1"/>
  <c r="F8" i="1"/>
  <c r="P7" i="1"/>
  <c r="O7" i="1"/>
  <c r="N7" i="1"/>
  <c r="L7" i="1"/>
  <c r="L5" i="2" s="1"/>
  <c r="K7" i="1"/>
  <c r="K5" i="2" s="1"/>
  <c r="I7" i="1"/>
  <c r="I5" i="2" s="1"/>
  <c r="H7" i="1"/>
  <c r="H5" i="2" s="1"/>
  <c r="F7" i="1"/>
  <c r="F5" i="2" s="1"/>
  <c r="P6" i="1"/>
  <c r="O6" i="1"/>
  <c r="N6" i="1"/>
  <c r="L6" i="1"/>
  <c r="K6" i="1"/>
  <c r="I6" i="1"/>
  <c r="H6" i="1"/>
  <c r="F6" i="1"/>
  <c r="P5" i="1"/>
  <c r="O5" i="1"/>
  <c r="N5" i="1"/>
  <c r="L5" i="1"/>
  <c r="K5" i="1"/>
  <c r="I5" i="1"/>
  <c r="H5" i="1"/>
  <c r="F5" i="1"/>
  <c r="P4" i="1"/>
  <c r="O4" i="1"/>
  <c r="N4" i="1"/>
  <c r="L4" i="1"/>
  <c r="K4" i="1"/>
  <c r="I4" i="1"/>
  <c r="H4" i="1"/>
  <c r="F4" i="1"/>
  <c r="O3" i="1"/>
  <c r="N3" i="1"/>
  <c r="L3" i="1"/>
  <c r="L4" i="2" s="1"/>
  <c r="K3" i="1"/>
  <c r="I3" i="1"/>
  <c r="H3" i="1"/>
  <c r="F3" i="1"/>
  <c r="P2" i="1"/>
  <c r="O2" i="1"/>
  <c r="K2" i="1"/>
  <c r="K4" i="2" s="1"/>
  <c r="I2" i="1"/>
  <c r="I4" i="2" s="1"/>
  <c r="H2" i="1"/>
  <c r="H4" i="2" s="1"/>
  <c r="F2" i="1"/>
  <c r="F4" i="2" s="1"/>
  <c r="L7" i="2" l="1"/>
  <c r="K7" i="2"/>
  <c r="I7" i="2"/>
  <c r="H7" i="2"/>
  <c r="F7" i="2"/>
</calcChain>
</file>

<file path=xl/sharedStrings.xml><?xml version="1.0" encoding="utf-8"?>
<sst xmlns="http://schemas.openxmlformats.org/spreadsheetml/2006/main" count="103" uniqueCount="52">
  <si>
    <t>Organism</t>
  </si>
  <si>
    <t>Sample</t>
  </si>
  <si>
    <t>Treatment</t>
  </si>
  <si>
    <t>Protein (μg / animal)</t>
  </si>
  <si>
    <t>Symbiont cells (per animal)</t>
  </si>
  <si>
    <t>Cells / μg protein</t>
  </si>
  <si>
    <t>NH₄⁺ uptake (μM)</t>
  </si>
  <si>
    <t>NH₄⁺ / μg protein (μM μg⁻¹)</t>
  </si>
  <si>
    <t>NH₄⁺ / cell (μM cell⁻¹)</t>
  </si>
  <si>
    <t>ΔΔO₂/Δt (mg L⁻¹ h⁻¹)</t>
  </si>
  <si>
    <t>O₂ rate / μg protein</t>
  </si>
  <si>
    <t>O₂ rate / cell</t>
  </si>
  <si>
    <t>PAM Fv/Fm</t>
  </si>
  <si>
    <t>ΔO₂ absolute (µg O₂ h⁻¹)</t>
  </si>
  <si>
    <t>ΔO₂ (nmol O₂ h⁻¹ µg protein⁻¹)</t>
  </si>
  <si>
    <t>ΔO₂ (nmol O₂ h⁻¹ cell⁻¹)</t>
  </si>
  <si>
    <t>Aiptasia</t>
  </si>
  <si>
    <t>AF1</t>
  </si>
  <si>
    <t>Fed</t>
  </si>
  <si>
    <t>AF2</t>
  </si>
  <si>
    <t>AF3</t>
  </si>
  <si>
    <t>AF4</t>
  </si>
  <si>
    <t>AF5</t>
  </si>
  <si>
    <t>AS1</t>
  </si>
  <si>
    <t>Starved</t>
  </si>
  <si>
    <t>AS2</t>
  </si>
  <si>
    <t>AS3</t>
  </si>
  <si>
    <t>AS4</t>
  </si>
  <si>
    <t>AS5</t>
  </si>
  <si>
    <t>Waminoa</t>
  </si>
  <si>
    <t>WF1</t>
  </si>
  <si>
    <t>WF2</t>
  </si>
  <si>
    <t>WF3</t>
  </si>
  <si>
    <t>WF4</t>
  </si>
  <si>
    <t>WF5</t>
  </si>
  <si>
    <t>WF6</t>
  </si>
  <si>
    <t>WS1</t>
  </si>
  <si>
    <t>WS2</t>
  </si>
  <si>
    <t>WS3</t>
  </si>
  <si>
    <t>WS4</t>
  </si>
  <si>
    <t>WS5</t>
  </si>
  <si>
    <t>WS6</t>
  </si>
  <si>
    <t>Group means ± SD (computed from Master sheet)</t>
  </si>
  <si>
    <t>n</t>
  </si>
  <si>
    <t>Protein (μg)</t>
  </si>
  <si>
    <t>Cells / animal</t>
  </si>
  <si>
    <t>NH₄⁺ (μM)</t>
  </si>
  <si>
    <t>NH₄⁺ / μg protein</t>
  </si>
  <si>
    <t>NH₄⁺ / cell</t>
  </si>
  <si>
    <t>ΔΔO₂/Δt</t>
  </si>
  <si>
    <t>O₂ / μg protein</t>
  </si>
  <si>
    <t>O₂ /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</si>
</sst>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1"/>
      <name val="Arial"/>
      <charset val="1"/>
    </font>
    <font>
      <sz val="11"/>
      <color rgb="FF006100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b/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11" fontId="4" fillId="4" borderId="1" xfId="0" applyNumberFormat="1" applyFont="1" applyFill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1" fontId="5" fillId="0" borderId="0" xfId="0" applyNumberFormat="1" applyFont="1"/>
    <xf numFmtId="0" fontId="3" fillId="5" borderId="1" xfId="0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11" fontId="4" fillId="5" borderId="1" xfId="0" applyNumberFormat="1" applyFont="1" applyFill="1" applyBorder="1" applyAlignment="1">
      <alignment horizontal="center" vertical="center" wrapText="1"/>
    </xf>
    <xf numFmtId="167" fontId="3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72" zoomScaleNormal="72" workbookViewId="0">
      <selection activeCell="H35" sqref="F24:H35"/>
    </sheetView>
  </sheetViews>
  <sheetFormatPr defaultColWidth="8.6328125" defaultRowHeight="14.5" x14ac:dyDescent="0.35"/>
  <cols>
    <col min="1" max="1" width="11" customWidth="1"/>
    <col min="2" max="2" width="9" customWidth="1"/>
    <col min="3" max="3" width="10" customWidth="1"/>
    <col min="4" max="4" width="16" customWidth="1"/>
    <col min="5" max="5" width="18" customWidth="1"/>
    <col min="6" max="7" width="14" customWidth="1"/>
    <col min="8" max="10" width="17" customWidth="1"/>
    <col min="11" max="12" width="15" customWidth="1"/>
    <col min="13" max="13" width="10.36328125" bestFit="1" customWidth="1"/>
    <col min="14" max="14" width="22" customWidth="1"/>
    <col min="15" max="15" width="28" customWidth="1"/>
    <col min="16" max="16" width="24" customWidth="1"/>
  </cols>
  <sheetData>
    <row r="1" spans="1:16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4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 t="s">
        <v>16</v>
      </c>
      <c r="B2" s="3" t="s">
        <v>17</v>
      </c>
      <c r="C2" s="3" t="s">
        <v>18</v>
      </c>
      <c r="D2" s="4">
        <v>132.72824199999999</v>
      </c>
      <c r="E2" s="5">
        <v>125333.333333</v>
      </c>
      <c r="F2" s="6">
        <f t="shared" ref="F2:F23" si="0">E2/D2</f>
        <v>944.28534157033448</v>
      </c>
      <c r="G2" s="7">
        <v>7.6125052450000004</v>
      </c>
      <c r="H2" s="8">
        <f t="shared" ref="H2:H23" si="1">G2/D2</f>
        <v>5.7354072730052441E-2</v>
      </c>
      <c r="I2" s="9">
        <f t="shared" ref="I2:I23" si="2">G2/E2</f>
        <v>6.0738073763459411E-5</v>
      </c>
      <c r="J2" s="10">
        <v>0.58465909090909096</v>
      </c>
      <c r="K2" s="8">
        <f t="shared" ref="K2:K23" si="3">J2/D2</f>
        <v>4.4049335853411737E-3</v>
      </c>
      <c r="L2" s="9">
        <f>J2/E2</f>
        <v>4.6648331721594085E-6</v>
      </c>
      <c r="M2" s="11">
        <v>0.63500000000000001</v>
      </c>
      <c r="N2" s="12">
        <f t="shared" ref="N2:N23" si="4">J2*10</f>
        <v>5.8465909090909101</v>
      </c>
      <c r="O2" s="12">
        <f t="shared" ref="O2:O23" si="5">IF(D2=0,"",(J2*10/32*1000)/D2)</f>
        <v>1.3765417454191169</v>
      </c>
      <c r="P2" s="12">
        <f t="shared" ref="P2:P23" si="6">IF(E2=0,"",(J2*10/32*1000)/E2)</f>
        <v>1.4577603662998154E-3</v>
      </c>
    </row>
    <row r="3" spans="1:16" x14ac:dyDescent="0.35">
      <c r="A3" s="3" t="s">
        <v>16</v>
      </c>
      <c r="B3" s="3" t="s">
        <v>19</v>
      </c>
      <c r="C3" s="3" t="s">
        <v>18</v>
      </c>
      <c r="D3" s="4">
        <v>146.19135800000001</v>
      </c>
      <c r="E3" s="5">
        <v>130833.333333</v>
      </c>
      <c r="F3" s="6">
        <f t="shared" si="0"/>
        <v>894.9457418201149</v>
      </c>
      <c r="G3" s="7">
        <v>6.8330336899999997</v>
      </c>
      <c r="H3" s="8">
        <f t="shared" si="1"/>
        <v>4.674033939817427E-2</v>
      </c>
      <c r="I3" s="9">
        <f t="shared" si="2"/>
        <v>5.2227009095674463E-5</v>
      </c>
      <c r="J3" s="10">
        <v>0.317219387755102</v>
      </c>
      <c r="K3" s="8">
        <f t="shared" si="3"/>
        <v>2.1698915181778528E-3</v>
      </c>
      <c r="L3" s="9">
        <f t="shared" ref="L3:L23" si="7">J3/E3</f>
        <v>2.424606785395492E-6</v>
      </c>
      <c r="M3" s="11">
        <v>0.69599999999999995</v>
      </c>
      <c r="N3" s="12">
        <f t="shared" si="4"/>
        <v>3.1721938775510199</v>
      </c>
      <c r="O3" s="12">
        <f t="shared" si="5"/>
        <v>0.67809109943057899</v>
      </c>
      <c r="P3" s="12">
        <f t="shared" si="6"/>
        <v>7.5768962043609115E-4</v>
      </c>
    </row>
    <row r="4" spans="1:16" x14ac:dyDescent="0.35">
      <c r="A4" s="3" t="s">
        <v>16</v>
      </c>
      <c r="B4" s="3" t="s">
        <v>20</v>
      </c>
      <c r="C4" s="3" t="s">
        <v>18</v>
      </c>
      <c r="D4" s="4">
        <v>205.27291399999999</v>
      </c>
      <c r="E4" s="5">
        <v>143500</v>
      </c>
      <c r="F4" s="6">
        <f t="shared" si="0"/>
        <v>699.06933751620056</v>
      </c>
      <c r="G4" s="7">
        <v>10.91153235</v>
      </c>
      <c r="H4" s="8">
        <f t="shared" si="1"/>
        <v>5.3156220844606902E-2</v>
      </c>
      <c r="I4" s="9">
        <f t="shared" si="2"/>
        <v>7.6038552961672469E-5</v>
      </c>
      <c r="J4" s="10">
        <v>0.347596153846154</v>
      </c>
      <c r="K4" s="8">
        <f t="shared" si="3"/>
        <v>1.6933366759052976E-3</v>
      </c>
      <c r="L4" s="9">
        <f t="shared" si="7"/>
        <v>2.4222728491021185E-6</v>
      </c>
      <c r="M4" s="11">
        <v>0.71799999999999997</v>
      </c>
      <c r="N4" s="12">
        <f t="shared" si="4"/>
        <v>3.4759615384615401</v>
      </c>
      <c r="O4" s="12">
        <f t="shared" si="5"/>
        <v>0.52916771122040551</v>
      </c>
      <c r="P4" s="12">
        <f t="shared" si="6"/>
        <v>7.5696026534441201E-4</v>
      </c>
    </row>
    <row r="5" spans="1:16" x14ac:dyDescent="0.35">
      <c r="A5" s="3" t="s">
        <v>16</v>
      </c>
      <c r="B5" s="3" t="s">
        <v>21</v>
      </c>
      <c r="C5" s="3" t="s">
        <v>18</v>
      </c>
      <c r="D5" s="4">
        <v>152.12016800000001</v>
      </c>
      <c r="E5" s="5">
        <v>26950</v>
      </c>
      <c r="F5" s="6">
        <f t="shared" si="0"/>
        <v>177.16257058038482</v>
      </c>
      <c r="G5" s="7">
        <v>7.0612394509999996</v>
      </c>
      <c r="H5" s="8">
        <f t="shared" si="1"/>
        <v>4.641882495817385E-2</v>
      </c>
      <c r="I5" s="9">
        <f t="shared" si="2"/>
        <v>2.6201259558441555E-4</v>
      </c>
      <c r="J5" s="10">
        <v>0.406185233160621</v>
      </c>
      <c r="K5" s="8">
        <f t="shared" si="3"/>
        <v>2.6701602982756433E-3</v>
      </c>
      <c r="L5" s="9">
        <f t="shared" si="7"/>
        <v>1.5071808280542524E-5</v>
      </c>
      <c r="M5" s="11">
        <v>0.64500000000000002</v>
      </c>
      <c r="N5" s="12">
        <f t="shared" si="4"/>
        <v>4.0618523316062101</v>
      </c>
      <c r="O5" s="12">
        <f t="shared" si="5"/>
        <v>0.83442509321113856</v>
      </c>
      <c r="P5" s="12">
        <f t="shared" si="6"/>
        <v>4.7099400876695384E-3</v>
      </c>
    </row>
    <row r="6" spans="1:16" x14ac:dyDescent="0.35">
      <c r="A6" s="3" t="s">
        <v>16</v>
      </c>
      <c r="B6" s="3" t="s">
        <v>22</v>
      </c>
      <c r="C6" s="3" t="s">
        <v>18</v>
      </c>
      <c r="D6" s="4">
        <v>164.477833</v>
      </c>
      <c r="E6" s="5">
        <v>165166.66666700001</v>
      </c>
      <c r="F6" s="6">
        <f t="shared" si="0"/>
        <v>1004.1880030544907</v>
      </c>
      <c r="G6" s="7">
        <v>6.1986069529999996</v>
      </c>
      <c r="H6" s="8">
        <f t="shared" si="1"/>
        <v>3.7686579643835649E-2</v>
      </c>
      <c r="I6" s="9">
        <f t="shared" si="2"/>
        <v>3.7529406375302657E-5</v>
      </c>
      <c r="J6" s="10">
        <v>0.35625000000000001</v>
      </c>
      <c r="K6" s="8">
        <f t="shared" si="3"/>
        <v>2.1659453648079129E-3</v>
      </c>
      <c r="L6" s="9">
        <f t="shared" si="7"/>
        <v>2.1569122098846477E-6</v>
      </c>
      <c r="M6" s="11">
        <v>0.58199999999999996</v>
      </c>
      <c r="N6" s="12">
        <f t="shared" si="4"/>
        <v>3.5625</v>
      </c>
      <c r="O6" s="12">
        <f t="shared" si="5"/>
        <v>0.67685792650247278</v>
      </c>
      <c r="P6" s="12">
        <f t="shared" si="6"/>
        <v>6.7403506558895248E-4</v>
      </c>
    </row>
    <row r="7" spans="1:16" x14ac:dyDescent="0.35">
      <c r="A7" s="13" t="s">
        <v>16</v>
      </c>
      <c r="B7" s="13" t="s">
        <v>23</v>
      </c>
      <c r="C7" s="13" t="s">
        <v>24</v>
      </c>
      <c r="D7" s="14">
        <v>93.048630000000003</v>
      </c>
      <c r="E7" s="15">
        <v>38450</v>
      </c>
      <c r="F7" s="16">
        <f t="shared" si="0"/>
        <v>413.22478364270381</v>
      </c>
      <c r="G7" s="17">
        <v>-3.819183384</v>
      </c>
      <c r="H7" s="18">
        <f t="shared" si="1"/>
        <v>-4.1045025423802582E-2</v>
      </c>
      <c r="I7" s="19">
        <f t="shared" si="2"/>
        <v>-9.9328566553966185E-5</v>
      </c>
      <c r="J7" s="20">
        <v>9.8689516129031998E-2</v>
      </c>
      <c r="K7" s="18">
        <f t="shared" si="3"/>
        <v>1.0606229896026626E-3</v>
      </c>
      <c r="L7" s="19">
        <f t="shared" si="7"/>
        <v>2.566697428583407E-6</v>
      </c>
      <c r="M7" s="11">
        <v>0.55300000000000005</v>
      </c>
      <c r="N7" s="12">
        <f t="shared" si="4"/>
        <v>0.98689516129031996</v>
      </c>
      <c r="O7" s="12">
        <f t="shared" si="5"/>
        <v>0.33144468425083201</v>
      </c>
      <c r="P7" s="12">
        <f t="shared" si="6"/>
        <v>8.020929464323147E-4</v>
      </c>
    </row>
    <row r="8" spans="1:16" x14ac:dyDescent="0.35">
      <c r="A8" s="13" t="s">
        <v>16</v>
      </c>
      <c r="B8" s="13" t="s">
        <v>25</v>
      </c>
      <c r="C8" s="13" t="s">
        <v>24</v>
      </c>
      <c r="D8" s="14">
        <v>100.409891</v>
      </c>
      <c r="E8" s="15">
        <v>14100</v>
      </c>
      <c r="F8" s="16">
        <f t="shared" si="0"/>
        <v>140.42441296943545</v>
      </c>
      <c r="G8" s="17">
        <v>2.3105911730000002</v>
      </c>
      <c r="H8" s="18">
        <f t="shared" si="1"/>
        <v>2.3011589296516616E-2</v>
      </c>
      <c r="I8" s="19">
        <f t="shared" si="2"/>
        <v>1.6387171439716312E-4</v>
      </c>
      <c r="J8" s="20">
        <v>8.11011653436918E-2</v>
      </c>
      <c r="K8" s="18">
        <f t="shared" si="3"/>
        <v>8.0770095989539316E-4</v>
      </c>
      <c r="L8" s="19">
        <f t="shared" si="7"/>
        <v>5.75185569813417E-6</v>
      </c>
      <c r="M8" s="11">
        <v>0.53200000000000003</v>
      </c>
      <c r="N8" s="12">
        <f t="shared" si="4"/>
        <v>0.81101165343691806</v>
      </c>
      <c r="O8" s="12">
        <f t="shared" si="5"/>
        <v>0.25240654996731038</v>
      </c>
      <c r="P8" s="12">
        <f t="shared" si="6"/>
        <v>1.7974549056669284E-3</v>
      </c>
    </row>
    <row r="9" spans="1:16" x14ac:dyDescent="0.35">
      <c r="A9" s="13" t="s">
        <v>16</v>
      </c>
      <c r="B9" s="13" t="s">
        <v>26</v>
      </c>
      <c r="C9" s="13" t="s">
        <v>24</v>
      </c>
      <c r="D9" s="14">
        <v>98.361536000000001</v>
      </c>
      <c r="E9" s="15">
        <v>19116.666667000001</v>
      </c>
      <c r="F9" s="16">
        <f t="shared" si="0"/>
        <v>194.35103846893975</v>
      </c>
      <c r="G9" s="17">
        <v>2.735733068</v>
      </c>
      <c r="H9" s="18">
        <f t="shared" si="1"/>
        <v>2.7813037283191674E-2</v>
      </c>
      <c r="I9" s="19">
        <f t="shared" si="2"/>
        <v>1.4310722238634511E-4</v>
      </c>
      <c r="J9" s="20">
        <v>1.59592529711374E-2</v>
      </c>
      <c r="K9" s="18">
        <f t="shared" si="3"/>
        <v>1.6225095316870002E-4</v>
      </c>
      <c r="L9" s="19">
        <f t="shared" si="7"/>
        <v>8.3483450588626609E-7</v>
      </c>
      <c r="M9" s="11">
        <v>0.55100000000000005</v>
      </c>
      <c r="N9" s="12">
        <f t="shared" si="4"/>
        <v>0.159592529711374</v>
      </c>
      <c r="O9" s="12">
        <f t="shared" si="5"/>
        <v>5.0703422865218749E-2</v>
      </c>
      <c r="P9" s="12">
        <f t="shared" si="6"/>
        <v>2.6088578308945817E-4</v>
      </c>
    </row>
    <row r="10" spans="1:16" x14ac:dyDescent="0.35">
      <c r="A10" s="13" t="s">
        <v>16</v>
      </c>
      <c r="B10" s="13" t="s">
        <v>27</v>
      </c>
      <c r="C10" s="13" t="s">
        <v>24</v>
      </c>
      <c r="D10" s="14">
        <v>82.477715000000003</v>
      </c>
      <c r="E10" s="15">
        <v>13350</v>
      </c>
      <c r="F10" s="16">
        <f t="shared" si="0"/>
        <v>161.86190415192758</v>
      </c>
      <c r="G10" s="17">
        <v>0.24594328600000001</v>
      </c>
      <c r="H10" s="18">
        <f t="shared" si="1"/>
        <v>2.9819362236211322E-3</v>
      </c>
      <c r="I10" s="19">
        <f t="shared" si="2"/>
        <v>1.8422718052434458E-5</v>
      </c>
      <c r="J10" s="20">
        <v>1.59592529711374E-2</v>
      </c>
      <c r="K10" s="18">
        <f t="shared" si="3"/>
        <v>1.934977584082852E-4</v>
      </c>
      <c r="L10" s="19">
        <f t="shared" si="7"/>
        <v>1.1954496607593559E-6</v>
      </c>
      <c r="M10" s="11">
        <v>0.53600000000000003</v>
      </c>
      <c r="N10" s="12">
        <f t="shared" si="4"/>
        <v>0.159592529711374</v>
      </c>
      <c r="O10" s="12">
        <f t="shared" si="5"/>
        <v>6.0468049502589119E-2</v>
      </c>
      <c r="P10" s="12">
        <f t="shared" si="6"/>
        <v>3.7357801898729867E-4</v>
      </c>
    </row>
    <row r="11" spans="1:16" x14ac:dyDescent="0.35">
      <c r="A11" s="13" t="s">
        <v>16</v>
      </c>
      <c r="B11" s="13" t="s">
        <v>28</v>
      </c>
      <c r="C11" s="13" t="s">
        <v>24</v>
      </c>
      <c r="D11" s="14">
        <v>108.218869</v>
      </c>
      <c r="E11" s="15">
        <v>25483.333332999999</v>
      </c>
      <c r="F11" s="16">
        <f t="shared" si="0"/>
        <v>235.47957549805847</v>
      </c>
      <c r="G11" s="17">
        <v>-1.477152606</v>
      </c>
      <c r="H11" s="18">
        <f t="shared" si="1"/>
        <v>-1.3649676989324292E-2</v>
      </c>
      <c r="I11" s="19">
        <f t="shared" si="2"/>
        <v>-5.7965439085127081E-5</v>
      </c>
      <c r="J11" s="20">
        <v>-2.252944188428E-3</v>
      </c>
      <c r="K11" s="18">
        <f t="shared" si="3"/>
        <v>-2.081840449125374E-5</v>
      </c>
      <c r="L11" s="19">
        <f t="shared" si="7"/>
        <v>-8.8408535845289848E-8</v>
      </c>
      <c r="M11" s="11">
        <v>0.56899999999999995</v>
      </c>
      <c r="N11" s="12">
        <f t="shared" si="4"/>
        <v>-2.2529441884280001E-2</v>
      </c>
      <c r="O11" s="12">
        <f t="shared" si="5"/>
        <v>-6.5057514035167935E-3</v>
      </c>
      <c r="P11" s="12">
        <f t="shared" si="6"/>
        <v>-2.7627667451653078E-5</v>
      </c>
    </row>
    <row r="12" spans="1:16" x14ac:dyDescent="0.35">
      <c r="A12" s="3" t="s">
        <v>29</v>
      </c>
      <c r="B12" s="3" t="s">
        <v>30</v>
      </c>
      <c r="C12" s="3" t="s">
        <v>18</v>
      </c>
      <c r="D12" s="4">
        <v>127.176523</v>
      </c>
      <c r="E12" s="5">
        <v>63000</v>
      </c>
      <c r="F12" s="6">
        <f t="shared" si="0"/>
        <v>495.37444894605272</v>
      </c>
      <c r="G12" s="7">
        <v>3.5109774300000001</v>
      </c>
      <c r="H12" s="8">
        <f t="shared" si="1"/>
        <v>2.7607119200766323E-2</v>
      </c>
      <c r="I12" s="9">
        <f t="shared" si="2"/>
        <v>5.5729800476190474E-5</v>
      </c>
      <c r="J12" s="10">
        <v>0.333201581027668</v>
      </c>
      <c r="K12" s="8">
        <f t="shared" si="3"/>
        <v>2.6199928506275331E-3</v>
      </c>
      <c r="L12" s="9">
        <f t="shared" si="7"/>
        <v>5.2889139845661587E-6</v>
      </c>
      <c r="M12" s="24">
        <v>0.59699999999999998</v>
      </c>
      <c r="N12" s="12">
        <f t="shared" si="4"/>
        <v>3.3320158102766801</v>
      </c>
      <c r="O12" s="12">
        <f t="shared" si="5"/>
        <v>0.81874776582110398</v>
      </c>
      <c r="P12" s="12">
        <f t="shared" si="6"/>
        <v>1.6527856201769245E-3</v>
      </c>
    </row>
    <row r="13" spans="1:16" x14ac:dyDescent="0.35">
      <c r="A13" s="3" t="s">
        <v>29</v>
      </c>
      <c r="B13" s="3" t="s">
        <v>31</v>
      </c>
      <c r="C13" s="3" t="s">
        <v>18</v>
      </c>
      <c r="D13" s="4">
        <v>139.61018000000001</v>
      </c>
      <c r="E13" s="5">
        <v>42633.333333000002</v>
      </c>
      <c r="F13" s="6">
        <f t="shared" si="0"/>
        <v>305.37410189572137</v>
      </c>
      <c r="G13" s="7">
        <v>5.5949063590000003</v>
      </c>
      <c r="H13" s="8">
        <f t="shared" si="1"/>
        <v>4.0075203391328626E-2</v>
      </c>
      <c r="I13" s="9">
        <f t="shared" si="2"/>
        <v>1.3123314368359057E-4</v>
      </c>
      <c r="J13" s="10">
        <v>0.31033966033966098</v>
      </c>
      <c r="K13" s="8">
        <f t="shared" si="3"/>
        <v>2.2229013696541395E-3</v>
      </c>
      <c r="L13" s="9">
        <f t="shared" si="7"/>
        <v>7.2792727210810174E-6</v>
      </c>
      <c r="M13" s="24">
        <v>0.63</v>
      </c>
      <c r="N13" s="12">
        <f t="shared" si="4"/>
        <v>3.1033966033966101</v>
      </c>
      <c r="O13" s="12">
        <f t="shared" si="5"/>
        <v>0.69465667801691855</v>
      </c>
      <c r="P13" s="12">
        <f t="shared" si="6"/>
        <v>2.274772725337818E-3</v>
      </c>
    </row>
    <row r="14" spans="1:16" x14ac:dyDescent="0.35">
      <c r="A14" s="3" t="s">
        <v>29</v>
      </c>
      <c r="B14" s="3" t="s">
        <v>32</v>
      </c>
      <c r="C14" s="3" t="s">
        <v>18</v>
      </c>
      <c r="D14" s="4">
        <v>221.51858999999999</v>
      </c>
      <c r="E14" s="5">
        <v>35850</v>
      </c>
      <c r="F14" s="6">
        <f t="shared" si="0"/>
        <v>161.83743314725868</v>
      </c>
      <c r="G14" s="7">
        <v>3.9262195320000002</v>
      </c>
      <c r="H14" s="8">
        <f t="shared" si="1"/>
        <v>1.7724108536443829E-2</v>
      </c>
      <c r="I14" s="9">
        <f t="shared" si="2"/>
        <v>1.0951797857740586E-4</v>
      </c>
      <c r="J14" s="10">
        <v>0.27882973380211001</v>
      </c>
      <c r="K14" s="8">
        <f t="shared" si="3"/>
        <v>1.2587193418038189E-3</v>
      </c>
      <c r="L14" s="9">
        <f t="shared" si="7"/>
        <v>7.7776773724437942E-6</v>
      </c>
      <c r="M14" s="24">
        <v>0.58699999999999997</v>
      </c>
      <c r="N14" s="12">
        <f t="shared" si="4"/>
        <v>2.7882973380211</v>
      </c>
      <c r="O14" s="12">
        <f t="shared" si="5"/>
        <v>0.39334979431369343</v>
      </c>
      <c r="P14" s="12">
        <f t="shared" si="6"/>
        <v>2.4305241788886854E-3</v>
      </c>
    </row>
    <row r="15" spans="1:16" x14ac:dyDescent="0.35">
      <c r="A15" s="3" t="s">
        <v>29</v>
      </c>
      <c r="B15" s="3" t="s">
        <v>33</v>
      </c>
      <c r="C15" s="3" t="s">
        <v>18</v>
      </c>
      <c r="D15" s="4">
        <v>247.77217899999999</v>
      </c>
      <c r="E15" s="5">
        <v>12983.333333</v>
      </c>
      <c r="F15" s="6">
        <f t="shared" si="0"/>
        <v>52.400287172677288</v>
      </c>
      <c r="G15" s="7">
        <v>6.7077314069999998</v>
      </c>
      <c r="H15" s="8">
        <f t="shared" si="1"/>
        <v>2.7072173454147166E-2</v>
      </c>
      <c r="I15" s="9">
        <f t="shared" si="2"/>
        <v>5.1664170016730779E-4</v>
      </c>
      <c r="J15" s="10">
        <v>0.25770416024653298</v>
      </c>
      <c r="K15" s="8">
        <f t="shared" si="3"/>
        <v>1.0400851350083698E-3</v>
      </c>
      <c r="L15" s="9">
        <f t="shared" si="7"/>
        <v>1.9848844178676449E-5</v>
      </c>
      <c r="M15" s="24">
        <v>0.64100000000000001</v>
      </c>
      <c r="N15" s="12">
        <f t="shared" si="4"/>
        <v>2.5770416024653295</v>
      </c>
      <c r="O15" s="12">
        <f t="shared" si="5"/>
        <v>0.32502660469011557</v>
      </c>
      <c r="P15" s="12">
        <f t="shared" si="6"/>
        <v>6.2027638058363907E-3</v>
      </c>
    </row>
    <row r="16" spans="1:16" x14ac:dyDescent="0.35">
      <c r="A16" s="3" t="s">
        <v>29</v>
      </c>
      <c r="B16" s="3" t="s">
        <v>34</v>
      </c>
      <c r="C16" s="3" t="s">
        <v>18</v>
      </c>
      <c r="D16" s="4">
        <v>163.96232699999999</v>
      </c>
      <c r="E16" s="5">
        <v>36750</v>
      </c>
      <c r="F16" s="6">
        <f t="shared" si="0"/>
        <v>224.13685309552847</v>
      </c>
      <c r="G16" s="7">
        <v>3.3545144169999999</v>
      </c>
      <c r="H16" s="8">
        <f t="shared" si="1"/>
        <v>2.0459055920815275E-2</v>
      </c>
      <c r="I16" s="9">
        <f t="shared" si="2"/>
        <v>9.127930386394558E-5</v>
      </c>
      <c r="J16" s="10">
        <v>0.27272727272727298</v>
      </c>
      <c r="K16" s="8">
        <f t="shared" si="3"/>
        <v>1.6633532697256303E-3</v>
      </c>
      <c r="L16" s="9">
        <f t="shared" si="7"/>
        <v>7.4211502782931425E-6</v>
      </c>
      <c r="M16" s="24">
        <v>0.61499999999999999</v>
      </c>
      <c r="N16" s="12">
        <f t="shared" si="4"/>
        <v>2.7272727272727297</v>
      </c>
      <c r="O16" s="12">
        <f t="shared" si="5"/>
        <v>0.51979789678925947</v>
      </c>
      <c r="P16" s="12">
        <f t="shared" si="6"/>
        <v>2.3191094619666071E-3</v>
      </c>
    </row>
    <row r="17" spans="1:16" x14ac:dyDescent="0.35">
      <c r="A17" s="3" t="s">
        <v>29</v>
      </c>
      <c r="B17" s="3" t="s">
        <v>35</v>
      </c>
      <c r="C17" s="3" t="s">
        <v>18</v>
      </c>
      <c r="D17" s="4">
        <v>216.06630699999999</v>
      </c>
      <c r="E17" s="5">
        <v>120500</v>
      </c>
      <c r="F17" s="6">
        <f t="shared" si="0"/>
        <v>557.69916963499543</v>
      </c>
      <c r="G17" s="7">
        <v>2.9097815250000001</v>
      </c>
      <c r="H17" s="8">
        <f t="shared" si="1"/>
        <v>1.3467076683085069E-2</v>
      </c>
      <c r="I17" s="9">
        <f t="shared" si="2"/>
        <v>2.4147564522821577E-5</v>
      </c>
      <c r="J17" s="10">
        <v>0.34620779220779202</v>
      </c>
      <c r="K17" s="8">
        <f t="shared" si="3"/>
        <v>1.6023219770576818E-3</v>
      </c>
      <c r="L17" s="9">
        <f t="shared" si="7"/>
        <v>2.8730937112679837E-6</v>
      </c>
      <c r="M17" s="24">
        <v>0.59699999999999998</v>
      </c>
      <c r="N17" s="12">
        <f t="shared" si="4"/>
        <v>3.4620779220779201</v>
      </c>
      <c r="O17" s="12">
        <f t="shared" si="5"/>
        <v>0.50072561783052549</v>
      </c>
      <c r="P17" s="12">
        <f t="shared" si="6"/>
        <v>8.9784178477124476E-4</v>
      </c>
    </row>
    <row r="18" spans="1:16" x14ac:dyDescent="0.35">
      <c r="A18" s="13" t="s">
        <v>29</v>
      </c>
      <c r="B18" s="13" t="s">
        <v>36</v>
      </c>
      <c r="C18" s="13" t="s">
        <v>24</v>
      </c>
      <c r="D18" s="14">
        <v>102.29073200000001</v>
      </c>
      <c r="E18" s="15">
        <v>30325</v>
      </c>
      <c r="F18" s="16">
        <f t="shared" si="0"/>
        <v>296.45892063808867</v>
      </c>
      <c r="G18" s="17">
        <v>3.4130787219999998</v>
      </c>
      <c r="H18" s="18">
        <f t="shared" si="1"/>
        <v>3.336645124408729E-2</v>
      </c>
      <c r="I18" s="19">
        <f t="shared" si="2"/>
        <v>1.1254999907666941E-4</v>
      </c>
      <c r="J18" s="20">
        <v>0.155301455301455</v>
      </c>
      <c r="K18" s="18">
        <f t="shared" si="3"/>
        <v>1.518235838819249E-3</v>
      </c>
      <c r="L18" s="19">
        <f t="shared" si="7"/>
        <v>5.1212351294791429E-6</v>
      </c>
      <c r="M18" s="24">
        <v>0.622</v>
      </c>
      <c r="N18" s="12">
        <f t="shared" si="4"/>
        <v>1.55301455301455</v>
      </c>
      <c r="O18" s="12">
        <f t="shared" si="5"/>
        <v>0.47444869963101532</v>
      </c>
      <c r="P18" s="12">
        <f t="shared" si="6"/>
        <v>1.6003859779622322E-3</v>
      </c>
    </row>
    <row r="19" spans="1:16" x14ac:dyDescent="0.35">
      <c r="A19" s="13" t="s">
        <v>29</v>
      </c>
      <c r="B19" s="13" t="s">
        <v>37</v>
      </c>
      <c r="C19" s="13" t="s">
        <v>24</v>
      </c>
      <c r="D19" s="14">
        <v>131.65334799999999</v>
      </c>
      <c r="E19" s="15">
        <v>20400</v>
      </c>
      <c r="F19" s="16">
        <f t="shared" si="0"/>
        <v>154.9523829807959</v>
      </c>
      <c r="G19" s="17">
        <v>3.5109774300000001</v>
      </c>
      <c r="H19" s="18">
        <f t="shared" si="1"/>
        <v>2.6668348988739734E-2</v>
      </c>
      <c r="I19" s="19">
        <f t="shared" si="2"/>
        <v>1.7210673676470588E-4</v>
      </c>
      <c r="J19" s="20">
        <v>0.31095902353966898</v>
      </c>
      <c r="K19" s="18">
        <f t="shared" si="3"/>
        <v>2.3619530248457409E-3</v>
      </c>
      <c r="L19" s="19">
        <f t="shared" si="7"/>
        <v>1.524308938919946E-5</v>
      </c>
      <c r="M19" s="24">
        <v>0.59399999999999997</v>
      </c>
      <c r="N19" s="12">
        <f t="shared" si="4"/>
        <v>3.1095902353966896</v>
      </c>
      <c r="O19" s="12">
        <f t="shared" si="5"/>
        <v>0.73811032026429402</v>
      </c>
      <c r="P19" s="12">
        <f t="shared" si="6"/>
        <v>4.7634654341248304E-3</v>
      </c>
    </row>
    <row r="20" spans="1:16" x14ac:dyDescent="0.35">
      <c r="A20" s="13" t="s">
        <v>29</v>
      </c>
      <c r="B20" s="13" t="s">
        <v>38</v>
      </c>
      <c r="C20" s="13" t="s">
        <v>24</v>
      </c>
      <c r="D20" s="14">
        <v>67.907770999999997</v>
      </c>
      <c r="E20" s="15">
        <v>53725</v>
      </c>
      <c r="F20" s="16">
        <f t="shared" si="0"/>
        <v>791.14656848330367</v>
      </c>
      <c r="G20" s="17">
        <v>5.744580268</v>
      </c>
      <c r="H20" s="18">
        <f t="shared" si="1"/>
        <v>8.4593856982877566E-2</v>
      </c>
      <c r="I20" s="19">
        <f t="shared" si="2"/>
        <v>1.069256448208469E-4</v>
      </c>
      <c r="J20" s="20">
        <v>0.164742014742015</v>
      </c>
      <c r="K20" s="18">
        <f t="shared" si="3"/>
        <v>2.4259670478952253E-3</v>
      </c>
      <c r="L20" s="19">
        <f t="shared" si="7"/>
        <v>3.066393945872778E-6</v>
      </c>
      <c r="M20" s="24">
        <v>0.62</v>
      </c>
      <c r="N20" s="12">
        <f t="shared" si="4"/>
        <v>1.64742014742015</v>
      </c>
      <c r="O20" s="12">
        <f t="shared" si="5"/>
        <v>0.75811470246725798</v>
      </c>
      <c r="P20" s="12">
        <f t="shared" si="6"/>
        <v>9.582481080852431E-4</v>
      </c>
    </row>
    <row r="21" spans="1:16" x14ac:dyDescent="0.35">
      <c r="A21" s="13" t="s">
        <v>29</v>
      </c>
      <c r="B21" s="13" t="s">
        <v>39</v>
      </c>
      <c r="C21" s="13" t="s">
        <v>24</v>
      </c>
      <c r="D21" s="14">
        <v>80.869202999999999</v>
      </c>
      <c r="E21" s="15">
        <v>14875</v>
      </c>
      <c r="F21" s="16">
        <f t="shared" si="0"/>
        <v>183.93899591170697</v>
      </c>
      <c r="G21" s="17">
        <v>2.0975704510000002</v>
      </c>
      <c r="H21" s="18">
        <f t="shared" si="1"/>
        <v>2.593781530158026E-2</v>
      </c>
      <c r="I21" s="19">
        <f t="shared" si="2"/>
        <v>1.4101313956302523E-4</v>
      </c>
      <c r="J21" s="20">
        <v>9.5045045045045101E-2</v>
      </c>
      <c r="K21" s="18">
        <f t="shared" si="3"/>
        <v>1.1752934555945248E-3</v>
      </c>
      <c r="L21" s="19">
        <f t="shared" si="7"/>
        <v>6.3895828601710988E-6</v>
      </c>
      <c r="M21" s="24">
        <v>0.59199999999999997</v>
      </c>
      <c r="N21" s="12">
        <f t="shared" si="4"/>
        <v>0.95045045045045096</v>
      </c>
      <c r="O21" s="12">
        <f t="shared" si="5"/>
        <v>0.36727920487328891</v>
      </c>
      <c r="P21" s="12">
        <f t="shared" si="6"/>
        <v>1.9967446438034684E-3</v>
      </c>
    </row>
    <row r="22" spans="1:16" x14ac:dyDescent="0.35">
      <c r="A22" s="13" t="s">
        <v>29</v>
      </c>
      <c r="B22" s="13" t="s">
        <v>40</v>
      </c>
      <c r="C22" s="13" t="s">
        <v>24</v>
      </c>
      <c r="D22" s="14">
        <v>117.225165</v>
      </c>
      <c r="E22" s="15">
        <v>34700</v>
      </c>
      <c r="F22" s="16">
        <f t="shared" si="0"/>
        <v>296.0115261940557</v>
      </c>
      <c r="G22" s="17">
        <v>3.2766309360000001</v>
      </c>
      <c r="H22" s="18">
        <f t="shared" si="1"/>
        <v>2.7951600119308855E-2</v>
      </c>
      <c r="I22" s="19">
        <f t="shared" si="2"/>
        <v>9.4427404495677237E-5</v>
      </c>
      <c r="J22" s="20">
        <v>0.26127311522048402</v>
      </c>
      <c r="K22" s="18">
        <f t="shared" si="3"/>
        <v>2.2288142244925313E-3</v>
      </c>
      <c r="L22" s="19">
        <f t="shared" si="7"/>
        <v>7.5294845884865714E-6</v>
      </c>
      <c r="M22" s="24">
        <v>0.55200000000000005</v>
      </c>
      <c r="N22" s="12">
        <f t="shared" si="4"/>
        <v>2.61273115220484</v>
      </c>
      <c r="O22" s="12">
        <f t="shared" si="5"/>
        <v>0.69650444515391596</v>
      </c>
      <c r="P22" s="12">
        <f t="shared" si="6"/>
        <v>2.3529639339020534E-3</v>
      </c>
    </row>
    <row r="23" spans="1:16" x14ac:dyDescent="0.35">
      <c r="A23" s="13" t="s">
        <v>29</v>
      </c>
      <c r="B23" s="13" t="s">
        <v>41</v>
      </c>
      <c r="C23" s="13" t="s">
        <v>24</v>
      </c>
      <c r="D23" s="14">
        <v>115.234421</v>
      </c>
      <c r="E23" s="15">
        <v>55975</v>
      </c>
      <c r="F23" s="16">
        <f t="shared" si="0"/>
        <v>485.74895863797502</v>
      </c>
      <c r="G23" s="17">
        <v>4.8807783049999998</v>
      </c>
      <c r="H23" s="18">
        <f t="shared" si="1"/>
        <v>4.2355211773051731E-2</v>
      </c>
      <c r="I23" s="19">
        <f t="shared" si="2"/>
        <v>8.7195682090218841E-5</v>
      </c>
      <c r="J23" s="20">
        <v>0.123115220483641</v>
      </c>
      <c r="K23" s="18">
        <f t="shared" si="3"/>
        <v>1.0683892834732168E-3</v>
      </c>
      <c r="L23" s="19">
        <f t="shared" si="7"/>
        <v>2.1994679854156497E-6</v>
      </c>
      <c r="M23" s="24">
        <v>0.67800000000000005</v>
      </c>
      <c r="N23" s="12">
        <f t="shared" si="4"/>
        <v>1.2311522048364101</v>
      </c>
      <c r="O23" s="12">
        <f t="shared" si="5"/>
        <v>0.33387165108538031</v>
      </c>
      <c r="P23" s="12">
        <f t="shared" si="6"/>
        <v>6.8733374544239069E-4</v>
      </c>
    </row>
    <row r="26" spans="1:16" x14ac:dyDescent="0.35">
      <c r="G26" s="24"/>
      <c r="H26" s="24"/>
    </row>
    <row r="27" spans="1:16" x14ac:dyDescent="0.35">
      <c r="G27" s="24"/>
      <c r="H27" s="24"/>
    </row>
    <row r="28" spans="1:16" x14ac:dyDescent="0.35">
      <c r="G28" s="24"/>
      <c r="H28" s="24"/>
    </row>
    <row r="29" spans="1:16" x14ac:dyDescent="0.35">
      <c r="G29" s="24"/>
      <c r="H29" s="24"/>
    </row>
    <row r="30" spans="1:16" x14ac:dyDescent="0.35">
      <c r="G30" s="24"/>
      <c r="H30" s="24"/>
    </row>
    <row r="31" spans="1:16" x14ac:dyDescent="0.35">
      <c r="G31" s="24"/>
      <c r="H31" s="2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zoomScale="68" zoomScaleNormal="68" workbookViewId="0">
      <selection sqref="A1:G1"/>
    </sheetView>
  </sheetViews>
  <sheetFormatPr defaultColWidth="8.6328125" defaultRowHeight="14.5" x14ac:dyDescent="0.35"/>
  <cols>
    <col min="1" max="2" width="11" customWidth="1"/>
    <col min="3" max="3" width="6" customWidth="1"/>
    <col min="4" max="12" width="19" customWidth="1"/>
  </cols>
  <sheetData>
    <row r="1" spans="1:12" ht="16.5" customHeight="1" x14ac:dyDescent="0.35">
      <c r="A1" s="25" t="s">
        <v>42</v>
      </c>
      <c r="B1" s="25"/>
      <c r="C1" s="25"/>
      <c r="D1" s="25"/>
      <c r="E1" s="25"/>
      <c r="F1" s="25"/>
      <c r="G1" s="25"/>
    </row>
    <row r="3" spans="1:12" x14ac:dyDescent="0.35">
      <c r="A3" s="1" t="s">
        <v>0</v>
      </c>
      <c r="B3" s="1" t="s">
        <v>2</v>
      </c>
      <c r="C3" s="1" t="s">
        <v>43</v>
      </c>
      <c r="D3" s="1" t="s">
        <v>44</v>
      </c>
      <c r="E3" s="1" t="s">
        <v>45</v>
      </c>
      <c r="F3" s="1" t="s">
        <v>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</row>
    <row r="4" spans="1:12" x14ac:dyDescent="0.35">
      <c r="A4" s="21" t="s">
        <v>16</v>
      </c>
      <c r="B4" s="22" t="s">
        <v>18</v>
      </c>
      <c r="C4" s="22">
        <f>COUNT(Master!$D$2:$D$6)</f>
        <v>5</v>
      </c>
      <c r="D4" s="23" t="str">
        <f>TEXT(AVERAGE(Master!$D$2:$D$6),"0.0000")&amp;" ± "&amp;TEXT(STDEV(Master!$D$2:$D$6),"0.0000")</f>
        <v>160.1581 ± 27.6861</v>
      </c>
      <c r="E4" s="23" t="str">
        <f>TEXT(AVERAGE(Master!$E$2:$E$6),"0.0000")&amp;" ± "&amp;TEXT(STDEV(Master!$E$2:$E$6),"0.0000")</f>
        <v>118356.6667 ± 53345.2976</v>
      </c>
      <c r="F4" s="23" t="str">
        <f>TEXT(AVERAGE(Master!$F$2:$F$6),"0.0000")&amp;" ± "&amp;TEXT(STDEV(Master!$F$2:$F$6),"0.0000")</f>
        <v>743.9302 ± 336.8679</v>
      </c>
      <c r="G4" s="23" t="str">
        <f>TEXT(AVERAGE(Master!$G$2:$G$6),"0.0000")&amp;" ± "&amp;TEXT(STDEV(Master!$G$2:$G$6),"0.0000")</f>
        <v>7.7234 ± 1.8529</v>
      </c>
      <c r="H4" s="23" t="str">
        <f>TEXT(AVERAGE(Master!$H$2:$H$6),"0.0000")&amp;" ± "&amp;TEXT(STDEV(Master!$H$2:$H$6),"0.0000")</f>
        <v>0.0483 ± 0.0075</v>
      </c>
      <c r="I4" s="23" t="str">
        <f>TEXT(AVERAGE(Master!$I$2:$I$6),"0.0000")&amp;" ± "&amp;TEXT(STDEV(Master!$I$2:$I$6),"0.0000")</f>
        <v>0.0001 ± 0.0001</v>
      </c>
      <c r="J4" s="23" t="str">
        <f>TEXT(AVERAGE(Master!$J$2:$J$6),"0.0000")&amp;" ± "&amp;TEXT(STDEV(Master!$J$2:$J$6),"0.0000")</f>
        <v>0.4024 ± 0.1068</v>
      </c>
      <c r="K4" s="23" t="str">
        <f>TEXT(AVERAGE(Master!$K$2:$K$6),"0.0000")&amp;" ± "&amp;TEXT(STDEV(Master!$K$2:$K$6),"0.0000")</f>
        <v>0.0026 ± 0.0011</v>
      </c>
      <c r="L4" s="23" t="str">
        <f>TEXT(AVERAGE(Master!$L$2:$L$6),"0.0000")&amp;" ± "&amp;TEXT(STDEV(Master!$L$2:$L$6),"0.0000")</f>
        <v>0.0000 ± 0.0000</v>
      </c>
    </row>
    <row r="5" spans="1:12" x14ac:dyDescent="0.35">
      <c r="A5" s="21" t="s">
        <v>16</v>
      </c>
      <c r="B5" s="22" t="s">
        <v>24</v>
      </c>
      <c r="C5" s="22">
        <f>COUNT(Master!$D$7:$D$11)</f>
        <v>5</v>
      </c>
      <c r="D5" s="23" t="str">
        <f>TEXT(AVERAGE(Master!$D$7:$D$11),"0.0000")&amp;" ± "&amp;TEXT(STDEV(Master!$D$7:$D$11),"0.0000")</f>
        <v>96.5033 ± 9.5475</v>
      </c>
      <c r="E5" s="23" t="str">
        <f>TEXT(AVERAGE(Master!$E$7:$E$11),"0.0000")&amp;" ± "&amp;TEXT(STDEV(Master!$E$7:$E$11),"0.0000")</f>
        <v>22100.0000 ± 10346.8863</v>
      </c>
      <c r="F5" s="23" t="str">
        <f>TEXT(AVERAGE(Master!$F$7:$F$11),"0.0000")&amp;" ± "&amp;TEXT(STDEV(Master!$F$7:$F$11),"0.0000")</f>
        <v>229.0683 ± 109.0120</v>
      </c>
      <c r="G5" s="23" t="str">
        <f>TEXT(AVERAGE(Master!$G$7:$G$11),"0.0000")&amp;" ± "&amp;TEXT(STDEV(Master!$G$7:$G$11),"0.0000")</f>
        <v>-0.0008 ± 2.7227</v>
      </c>
      <c r="H5" s="23" t="str">
        <f>TEXT(AVERAGE(Master!$H$7:$H$11),"0.0000")&amp;" ± "&amp;TEXT(STDEV(Master!$H$7:$H$11),"0.0000")</f>
        <v>-0.0002 ± 0.0282</v>
      </c>
      <c r="I5" s="23" t="str">
        <f>TEXT(AVERAGE(Master!$I$7:$I$11),"0.0000")&amp;" ± "&amp;TEXT(STDEV(Master!$I$7:$I$11),"0.0000")</f>
        <v>0.0000 ± 0.0001</v>
      </c>
      <c r="J5" s="23" t="str">
        <f>TEXT(AVERAGE(Master!$J$7:$J$11),"0.0000")&amp;" ± "&amp;TEXT(STDEV(Master!$J$7:$J$11),"0.0000")</f>
        <v>0.0419 ± 0.0449</v>
      </c>
      <c r="K5" s="23" t="str">
        <f>TEXT(AVERAGE(Master!$K$7:$K$11),"0.0000")&amp;" ± "&amp;TEXT(STDEV(Master!$K$7:$K$11),"0.0000")</f>
        <v>0.0004 ± 0.0005</v>
      </c>
      <c r="L5" s="23" t="str">
        <f>TEXT(AVERAGE(Master!$L$7:$L$11),"0.0000")&amp;" ± "&amp;TEXT(STDEV(Master!$L$7:$L$11),"0.0000")</f>
        <v>0.0000 ± 0.0000</v>
      </c>
    </row>
    <row r="6" spans="1:12" x14ac:dyDescent="0.35">
      <c r="A6" s="21" t="s">
        <v>29</v>
      </c>
      <c r="B6" s="22" t="s">
        <v>18</v>
      </c>
      <c r="C6" s="22">
        <f>COUNT(Master!$D$12:$D$17)</f>
        <v>6</v>
      </c>
      <c r="D6" s="23" t="str">
        <f>TEXT(AVERAGE(Master!$D$12:$D$17),"0.0000")&amp;" ± "&amp;TEXT(STDEV(Master!$D$12:$D$17),"0.0000")</f>
        <v>186.0177 ± 49.1513</v>
      </c>
      <c r="E6" s="23" t="str">
        <f>TEXT(AVERAGE(Master!$E$12:$E$17),"0.0000")&amp;" ± "&amp;TEXT(STDEV(Master!$E$12:$E$17),"0.0000")</f>
        <v>51952.7778 ± 37193.1616</v>
      </c>
      <c r="F6" s="23" t="str">
        <f>TEXT(AVERAGE(Master!$F$12:$F$17),"0.0000")&amp;" ± "&amp;TEXT(STDEV(Master!$F$12:$F$17),"0.0000")</f>
        <v>299.4704 ± 195.3238</v>
      </c>
      <c r="G6" s="23" t="str">
        <f>TEXT(AVERAGE(Master!$G$12:$G$17),"0.0000")&amp;" ± "&amp;TEXT(STDEV(Master!$G$12:$G$17),"0.0000")</f>
        <v>4.3340 ± 1.4870</v>
      </c>
      <c r="H6" s="23" t="str">
        <f>TEXT(AVERAGE(Master!$H$12:$H$17),"0.0000")&amp;" ± "&amp;TEXT(STDEV(Master!$H$12:$H$17),"0.0000")</f>
        <v>0.0244 ± 0.0094</v>
      </c>
      <c r="I6" s="23" t="str">
        <f>TEXT(AVERAGE(Master!$I$12:$I$17),"0.0000")&amp;" ± "&amp;TEXT(STDEV(Master!$I$12:$I$17),"0.0000")</f>
        <v>0.0002 ± 0.0002</v>
      </c>
      <c r="J6" s="23" t="str">
        <f>TEXT(AVERAGE(Master!$J$12:$J$17),"0.0000")&amp;" ± "&amp;TEXT(STDEV(Master!$J$12:$J$17),"0.0000")</f>
        <v>0.2998 ± 0.0356</v>
      </c>
      <c r="K6" s="23" t="str">
        <f>TEXT(AVERAGE(Master!$K$12:$K$17),"0.0000")&amp;" ± "&amp;TEXT(STDEV(Master!$K$12:$K$17),"0.0000")</f>
        <v>0.0017 ± 0.0006</v>
      </c>
      <c r="L6" s="23" t="str">
        <f>TEXT(AVERAGE(Master!$L$12:$L$17),"0.0000")&amp;" ± "&amp;TEXT(STDEV(Master!$L$12:$L$17),"0.0000")</f>
        <v>0.0000 ± 0.0000</v>
      </c>
    </row>
    <row r="7" spans="1:12" x14ac:dyDescent="0.35">
      <c r="A7" s="21" t="s">
        <v>29</v>
      </c>
      <c r="B7" s="22" t="s">
        <v>24</v>
      </c>
      <c r="C7" s="22">
        <f>COUNT(Master!$D$18:$D$23)</f>
        <v>6</v>
      </c>
      <c r="D7" s="23" t="str">
        <f>TEXT(AVERAGE(Master!$D$18:$D$23),"0.0000")&amp;" ± "&amp;TEXT(STDEV(Master!$D$18:$D$23),"0.0000")</f>
        <v>102.5301 ± 24.0560</v>
      </c>
      <c r="E7" s="23" t="str">
        <f>TEXT(AVERAGE(Master!$E$18:$E$23),"0.0000")&amp;" ± "&amp;TEXT(STDEV(Master!$E$18:$E$23),"0.0000")</f>
        <v>35000.0000 ± 16915.6584</v>
      </c>
      <c r="F7" s="23" t="str">
        <f>TEXT(AVERAGE(Master!$F$18:$F$23),"0.0000")&amp;" ± "&amp;TEXT(STDEV(Master!$F$18:$F$23),"0.0000")</f>
        <v>368.0429 ± 237.6914</v>
      </c>
      <c r="G7" s="23" t="str">
        <f>TEXT(AVERAGE(Master!$G$18:$G$23),"0.0000")&amp;" ± "&amp;TEXT(STDEV(Master!$G$18:$G$23),"0.0000")</f>
        <v>3.8206 ± 1.2925</v>
      </c>
      <c r="H7" s="23" t="str">
        <f>TEXT(AVERAGE(Master!$H$18:$H$23),"0.0000")&amp;" ± "&amp;TEXT(STDEV(Master!$H$18:$H$23),"0.0000")</f>
        <v>0.0401 ± 0.0226</v>
      </c>
      <c r="I7" s="23" t="str">
        <f>TEXT(AVERAGE(Master!$I$18:$I$23),"0.0000")&amp;" ± "&amp;TEXT(STDEV(Master!$I$18:$I$23),"0.0000")</f>
        <v>0.0001 ± 0.0000</v>
      </c>
      <c r="J7" s="23" t="str">
        <f>TEXT(AVERAGE(Master!$J$18:$J$23),"0.0000")&amp;" ± "&amp;TEXT(STDEV(Master!$J$18:$J$23),"0.0000")</f>
        <v>0.1851 ± 0.0835</v>
      </c>
      <c r="K7" s="23" t="str">
        <f>TEXT(AVERAGE(Master!$K$18:$K$23),"0.0000")&amp;" ± "&amp;TEXT(STDEV(Master!$K$18:$K$23),"0.0000")</f>
        <v>0.0018 ± 0.0006</v>
      </c>
      <c r="L7" s="23" t="str">
        <f>TEXT(AVERAGE(Master!$L$18:$L$23),"0.0000")&amp;" ± "&amp;TEXT(STDEV(Master!$L$18:$L$23),"0.0000")</f>
        <v>0.0000 ± 0.0000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Danjel Kola</cp:lastModifiedBy>
  <cp:revision>0</cp:revision>
  <dcterms:created xsi:type="dcterms:W3CDTF">2026-04-23T11:43:21Z</dcterms:created>
  <dcterms:modified xsi:type="dcterms:W3CDTF">2026-09-10T16:23:10Z</dcterms:modified>
  <dc:language>en-US</dc:language>
</cp:coreProperties>
</file>